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Dashboard" sheetId="2" state="visible" r:id="rId2"/>
    <sheet name="Top Scenarios" sheetId="3" state="visible" r:id="rId3"/>
    <sheet name="Scenario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70AD47"/>
    <numFmt numFmtId="165" formatCode="FF0000"/>
    <numFmt numFmtId="166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  <sz val="12"/>
    </font>
    <font>
      <b val="1"/>
      <color rgb="002F5496"/>
      <sz val="18"/>
    </font>
    <font>
      <b val="1"/>
      <sz val="14"/>
    </font>
    <font>
      <b val="1"/>
    </font>
    <font>
      <i val="1"/>
    </font>
    <font>
      <b val="1"/>
      <sz val="16"/>
    </font>
    <font>
      <b val="1"/>
      <color rgb="00FFFFFF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3" borderId="0" pivotButton="0" quotePrefix="0" xfId="0"/>
    <xf numFmtId="165" fontId="0" fillId="4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scenario_id</t>
        </is>
      </c>
      <c r="B1" s="1" t="inlineStr">
        <is>
          <t>retirement_age</t>
        </is>
      </c>
      <c r="C1" s="1" t="inlineStr">
        <is>
          <t>rrsp_balance</t>
        </is>
      </c>
      <c r="D1" s="1" t="inlineStr">
        <is>
          <t>tfsa_balance</t>
        </is>
      </c>
      <c r="E1" s="1" t="inlineStr">
        <is>
          <t>nonreg_balance</t>
        </is>
      </c>
      <c r="F1" s="1" t="inlineStr">
        <is>
          <t>annual_spending</t>
        </is>
      </c>
      <c r="G1" s="1" t="inlineStr">
        <is>
          <t>monthly_savings</t>
        </is>
      </c>
      <c r="H1" s="1" t="inlineStr">
        <is>
          <t>rrsp_real_return</t>
        </is>
      </c>
      <c r="I1" s="1" t="inlineStr">
        <is>
          <t>tfsa_real_return</t>
        </is>
      </c>
      <c r="J1" s="1" t="inlineStr">
        <is>
          <t>nonreg_real_return</t>
        </is>
      </c>
      <c r="K1" s="1" t="inlineStr">
        <is>
          <t>num_properties</t>
        </is>
      </c>
      <c r="L1" s="1" t="inlineStr">
        <is>
          <t>num_pensions</t>
        </is>
      </c>
      <c r="M1" s="1" t="inlineStr">
        <is>
          <t>cpp_start_age</t>
        </is>
      </c>
      <c r="N1" s="1" t="inlineStr">
        <is>
          <t>oas_start_age</t>
        </is>
      </c>
      <c r="O1" s="1" t="inlineStr">
        <is>
          <t>year</t>
        </is>
      </c>
      <c r="P1" s="1" t="inlineStr">
        <is>
          <t>age</t>
        </is>
      </c>
      <c r="Q1" s="1" t="inlineStr">
        <is>
          <t>rrsp_rrif_balance</t>
        </is>
      </c>
      <c r="R1" s="1" t="inlineStr">
        <is>
          <t>tfsa_balance_eoy</t>
        </is>
      </c>
      <c r="S1" s="1" t="inlineStr">
        <is>
          <t>nonreg_balance_eoy</t>
        </is>
      </c>
      <c r="T1" s="1" t="inlineStr">
        <is>
          <t>total_balance</t>
        </is>
      </c>
      <c r="U1" s="1" t="inlineStr">
        <is>
          <t>gross_income</t>
        </is>
      </c>
      <c r="V1" s="1" t="inlineStr">
        <is>
          <t>taxes_estimated</t>
        </is>
      </c>
      <c r="W1" s="1" t="inlineStr">
        <is>
          <t>success</t>
        </is>
      </c>
      <c r="X1" s="1" t="inlineStr">
        <is>
          <t>final_balance</t>
        </is>
      </c>
      <c r="Y1" s="1" t="inlineStr">
        <is>
          <t>warnings</t>
        </is>
      </c>
    </row>
    <row r="2">
      <c r="A2" t="n">
        <v>1</v>
      </c>
      <c r="B2" t="n">
        <v>65</v>
      </c>
      <c r="C2" t="n">
        <v>100000</v>
      </c>
      <c r="D2" t="n">
        <v>30000</v>
      </c>
      <c r="E2" t="n">
        <v>0</v>
      </c>
      <c r="F2" t="n">
        <v>60000</v>
      </c>
      <c r="G2" t="n">
        <v>1500</v>
      </c>
      <c r="H2" t="n">
        <v>0.02</v>
      </c>
      <c r="I2" t="n">
        <v>0.04</v>
      </c>
      <c r="J2" t="n">
        <v>0.05</v>
      </c>
      <c r="K2" t="n">
        <v>0</v>
      </c>
      <c r="L2" t="n">
        <v>1</v>
      </c>
      <c r="M2" t="n">
        <v>65</v>
      </c>
      <c r="N2" t="n">
        <v>65</v>
      </c>
      <c r="O2" t="n">
        <v>0</v>
      </c>
      <c r="P2" t="n">
        <v>55</v>
      </c>
      <c r="Q2" t="n">
        <v>100000</v>
      </c>
      <c r="R2" t="n">
        <v>30000</v>
      </c>
      <c r="S2" t="n">
        <v>0</v>
      </c>
      <c r="T2" t="n">
        <v>130000</v>
      </c>
      <c r="U2" t="n">
        <v>0</v>
      </c>
      <c r="V2" t="n">
        <v>0</v>
      </c>
      <c r="W2" t="b">
        <v>1</v>
      </c>
      <c r="X2" t="n">
        <v>50000</v>
      </c>
      <c r="Y2" t="inlineStr"/>
    </row>
    <row r="3">
      <c r="A3" s="2" t="inlineStr">
        <is>
          <t>👉 PASTE YOUR CSV DATA HERE (starting at row 2, replacing the sample)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🎯 Retirement Scenario Analysis</t>
        </is>
      </c>
    </row>
    <row r="3">
      <c r="A3" s="4" t="inlineStr">
        <is>
          <t>📊 Key Metrics</t>
        </is>
      </c>
    </row>
    <row r="5">
      <c r="A5" s="5" t="inlineStr">
        <is>
          <t>Total Scenarios:</t>
        </is>
      </c>
      <c r="B5">
        <f>COUNTA('Raw Data'!A:A)-2</f>
        <v/>
      </c>
    </row>
    <row r="6">
      <c r="A6" s="5" t="inlineStr">
        <is>
          <t>Unique Scenarios:</t>
        </is>
      </c>
      <c r="B6">
        <f>MAX('Raw Data'!A:A)</f>
        <v/>
      </c>
    </row>
    <row r="7">
      <c r="A7" s="5" t="inlineStr">
        <is>
          <t>Successful Plans:</t>
        </is>
      </c>
      <c r="B7" s="6">
        <f>COUNTIF('Raw Data'!W:W,TRUE)</f>
        <v/>
      </c>
    </row>
    <row r="8">
      <c r="A8" s="5" t="inlineStr">
        <is>
          <t>Failed Plans:</t>
        </is>
      </c>
      <c r="B8" s="7">
        <f>COUNTIF('Raw Data'!W:W,FALSE)</f>
        <v/>
      </c>
    </row>
    <row r="9">
      <c r="A9" s="5" t="inlineStr">
        <is>
          <t>Success Rate:</t>
        </is>
      </c>
      <c r="B9" s="8">
        <f>B6/(B6+B7)</f>
        <v/>
      </c>
    </row>
    <row r="10">
      <c r="A10" s="5" t="inlineStr">
        <is>
          <t>Avg Final Balance:</t>
        </is>
      </c>
      <c r="B10" s="9">
        <f>AVERAGEIF('Raw Data'!W:W,TRUE,'Raw Data'!X:X)</f>
        <v/>
      </c>
    </row>
    <row r="13">
      <c r="A13" s="4" t="inlineStr">
        <is>
          <t>📖 Quick Start Guide</t>
        </is>
      </c>
    </row>
    <row r="14">
      <c r="A14" t="inlineStr">
        <is>
          <t>1. Paste CSV data into 'Raw Data' sheet (starting row 2)</t>
        </is>
      </c>
    </row>
    <row r="15">
      <c r="A15" t="inlineStr">
        <is>
          <t>2. This dashboard auto-updates with your results</t>
        </is>
      </c>
    </row>
    <row r="16">
      <c r="A16" t="inlineStr">
        <is>
          <t>3. Go to 'Top Scenarios' to see best outcomes</t>
        </is>
      </c>
    </row>
    <row r="17">
      <c r="A17" t="inlineStr">
        <is>
          <t>4. Use 'Scenario Comparison' for detailed analysis</t>
        </is>
      </c>
    </row>
    <row r="18">
      <c r="A18" t="inlineStr">
        <is>
          <t>5. Filter 'Raw Data' by success=TRUE to see viable plans</t>
        </is>
      </c>
    </row>
    <row r="19">
      <c r="A19" t="inlineStr"/>
    </row>
    <row r="20">
      <c r="A20" t="inlineStr">
        <is>
          <t>💡 Tips:</t>
        </is>
      </c>
    </row>
    <row r="21">
      <c r="A21" s="10" t="inlineStr">
        <is>
          <t xml:space="preserve">   • Sort by final_balance (column X) to find best scenarios</t>
        </is>
      </c>
    </row>
    <row r="22">
      <c r="A22" s="10" t="inlineStr">
        <is>
          <t xml:space="preserve">   • Filter by retirement_age to compare retirement timing</t>
        </is>
      </c>
    </row>
    <row r="23">
      <c r="A23" s="10" t="inlineStr">
        <is>
          <t xml:space="preserve">   • Check warnings column for issues in failed scenarios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🏆 Top 10 Successful Scenarios</t>
        </is>
      </c>
    </row>
    <row r="3">
      <c r="A3" s="12" t="inlineStr">
        <is>
          <t>Rank</t>
        </is>
      </c>
      <c r="B3" s="12" t="inlineStr">
        <is>
          <t>Scenario ID</t>
        </is>
      </c>
      <c r="C3" s="12" t="inlineStr">
        <is>
          <t>Final Balance</t>
        </is>
      </c>
      <c r="D3" s="12" t="inlineStr">
        <is>
          <t>Retirement Age</t>
        </is>
      </c>
      <c r="E3" s="12" t="inlineStr">
        <is>
          <t>RRSP Start</t>
        </is>
      </c>
      <c r="F3" s="12" t="inlineStr">
        <is>
          <t>TFSA Start</t>
        </is>
      </c>
      <c r="G3" s="12" t="inlineStr">
        <is>
          <t>Annual Spending</t>
        </is>
      </c>
      <c r="H3" s="12" t="inlineStr">
        <is>
          <t>Pensions</t>
        </is>
      </c>
    </row>
    <row r="5">
      <c r="A5" t="inlineStr">
        <is>
          <t>📋 Instructions:</t>
        </is>
      </c>
    </row>
    <row r="6">
      <c r="A6" t="inlineStr">
        <is>
          <t>1. Go to Raw Data sheet</t>
        </is>
      </c>
    </row>
    <row r="7">
      <c r="A7" t="inlineStr">
        <is>
          <t>2. Select all data (Ctrl+A)</t>
        </is>
      </c>
    </row>
    <row r="8">
      <c r="A8" t="inlineStr">
        <is>
          <t>3. Data → Sort → Sort by 'final_balance' descending</t>
        </is>
      </c>
    </row>
    <row r="9">
      <c r="A9" t="inlineStr">
        <is>
          <t>4. Filter 'success' column to TRUE only</t>
        </is>
      </c>
    </row>
    <row r="10">
      <c r="A10" t="inlineStr">
        <is>
          <t>5. Copy top 10 rows here manually (or use pivot table)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📊 Compare Up To 5 Scenarios</t>
        </is>
      </c>
    </row>
    <row r="3">
      <c r="A3" s="5" t="inlineStr">
        <is>
          <t>Enter Scenario IDs to compare:</t>
        </is>
      </c>
    </row>
    <row r="4">
      <c r="B4" s="13" t="inlineStr">
        <is>
          <t>Scenario 1</t>
        </is>
      </c>
      <c r="C4" s="13" t="inlineStr">
        <is>
          <t>Scenario 2</t>
        </is>
      </c>
      <c r="D4" s="13" t="inlineStr">
        <is>
          <t>Scenario 3</t>
        </is>
      </c>
      <c r="E4" s="13" t="inlineStr">
        <is>
          <t>Scenario 4</t>
        </is>
      </c>
      <c r="F4" s="13" t="inlineStr">
        <is>
          <t>Scenario 5</t>
        </is>
      </c>
    </row>
    <row r="5">
      <c r="B5" s="14" t="n"/>
      <c r="C5" s="14" t="n"/>
      <c r="D5" s="14" t="n"/>
      <c r="E5" s="14" t="n"/>
      <c r="F5" s="14" t="n"/>
    </row>
    <row r="7">
      <c r="A7" s="5" t="inlineStr">
        <is>
          <t>Retirement Age</t>
        </is>
      </c>
    </row>
    <row r="8">
      <c r="A8" s="5" t="inlineStr">
        <is>
          <t>Starting RRSP</t>
        </is>
      </c>
    </row>
    <row r="9">
      <c r="A9" s="5" t="inlineStr">
        <is>
          <t>Starting TFSA</t>
        </is>
      </c>
    </row>
    <row r="10">
      <c r="A10" s="5" t="inlineStr">
        <is>
          <t>Annual Spending</t>
        </is>
      </c>
    </row>
    <row r="11">
      <c r="A11" s="5" t="inlineStr">
        <is>
          <t>Final Balance</t>
        </is>
      </c>
    </row>
    <row r="12">
      <c r="A12" s="5" t="inlineStr">
        <is>
          <t>Success?</t>
        </is>
      </c>
    </row>
    <row r="13">
      <c r="A13" s="5" t="inlineStr">
        <is>
          <t>Years to Depletion</t>
        </is>
      </c>
    </row>
    <row r="15">
      <c r="A15" s="15" t="inlineStr">
        <is>
          <t>Use VLOOKUP or XLOOKUP to pull data from Raw Data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2026-01-03T12:50:12Z</dcterms:created>
  <dcterms:modified xsi:type="dcterms:W3CDTF">2026-01-03T12:50:12Z</dcterms:modified>
</cp:coreProperties>
</file>