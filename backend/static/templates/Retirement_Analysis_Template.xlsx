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Summary Dashboard" sheetId="2" state="visible" r:id="rId2"/>
    <sheet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"/>
  </numFmts>
  <fonts count="13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</font>
    <font>
      <b val="1"/>
      <color rgb="002E5C8A"/>
      <sz val="16"/>
    </font>
    <font>
      <b val="1"/>
    </font>
    <font>
      <b val="1"/>
      <color rgb="002E5C8A"/>
      <sz val="12"/>
    </font>
    <font>
      <b val="1"/>
      <color rgb="002E5C8A"/>
      <sz val="18"/>
    </font>
    <font>
      <i val="1"/>
      <color rgb="00666666"/>
      <sz val="10"/>
    </font>
    <font>
      <b val="1"/>
      <color rgb="0027ae60"/>
      <sz val="14"/>
    </font>
    <font>
      <b val="1"/>
      <color rgb="003498db"/>
      <sz val="14"/>
    </font>
    <font>
      <b val="1"/>
      <color rgb="00f39c12"/>
      <sz val="14"/>
    </font>
    <font>
      <b val="1"/>
      <color rgb="008e44ad"/>
      <sz val="14"/>
    </font>
    <font>
      <i val="1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  <fill>
      <patternFill patternType="solid">
        <fgColor rgb="00fef5e7"/>
        <bgColor rgb="00fef5e7"/>
      </patternFill>
    </fill>
    <fill>
      <patternFill patternType="solid">
        <fgColor rgb="00f4ecf7"/>
        <bgColor rgb="00f4ec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164" fontId="0" fillId="0" borderId="0" pivotButton="0" quotePrefix="0" xfId="0"/>
    <xf numFmtId="0" fontId="9" fillId="4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10" fillId="5" borderId="0" pivotButton="0" quotePrefix="0" xfId="0"/>
    <xf numFmtId="0" fontId="11" fillId="6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scenario_id</t>
        </is>
      </c>
      <c r="B1" s="1" t="inlineStr">
        <is>
          <t>retirement_age</t>
        </is>
      </c>
      <c r="C1" s="1" t="inlineStr">
        <is>
          <t>rrsp_balance</t>
        </is>
      </c>
      <c r="D1" s="1" t="inlineStr">
        <is>
          <t>tfsa_balance</t>
        </is>
      </c>
      <c r="E1" s="1" t="inlineStr">
        <is>
          <t>nonreg_balance</t>
        </is>
      </c>
      <c r="F1" s="1" t="inlineStr">
        <is>
          <t>annual_spending</t>
        </is>
      </c>
      <c r="G1" s="1" t="inlineStr">
        <is>
          <t>monthly_savings</t>
        </is>
      </c>
      <c r="H1" s="1" t="inlineStr">
        <is>
          <t>rrsp_real_return</t>
        </is>
      </c>
      <c r="I1" s="1" t="inlineStr">
        <is>
          <t>tfsa_real_return</t>
        </is>
      </c>
      <c r="J1" s="1" t="inlineStr">
        <is>
          <t>nonreg_real_return</t>
        </is>
      </c>
      <c r="K1" s="1" t="inlineStr">
        <is>
          <t>num_properties</t>
        </is>
      </c>
      <c r="L1" s="1" t="inlineStr">
        <is>
          <t>num_pensions</t>
        </is>
      </c>
      <c r="M1" s="1" t="inlineStr">
        <is>
          <t>cpp_start_age</t>
        </is>
      </c>
      <c r="N1" s="1" t="inlineStr">
        <is>
          <t>oas_start_age</t>
        </is>
      </c>
      <c r="O1" s="1" t="inlineStr">
        <is>
          <t>year</t>
        </is>
      </c>
      <c r="P1" s="1" t="inlineStr">
        <is>
          <t>age</t>
        </is>
      </c>
      <c r="Q1" s="1" t="inlineStr">
        <is>
          <t>rrsp_rrif_balance</t>
        </is>
      </c>
      <c r="R1" s="1" t="inlineStr">
        <is>
          <t>tfsa_balance_eoy</t>
        </is>
      </c>
      <c r="S1" s="1" t="inlineStr">
        <is>
          <t>nonreg_balance_eoy</t>
        </is>
      </c>
      <c r="T1" s="1" t="inlineStr">
        <is>
          <t>total_balance</t>
        </is>
      </c>
      <c r="U1" s="1" t="inlineStr">
        <is>
          <t>gross_income</t>
        </is>
      </c>
      <c r="V1" s="1" t="inlineStr">
        <is>
          <t>taxes_estimated</t>
        </is>
      </c>
      <c r="W1" s="1" t="inlineStr">
        <is>
          <t>success</t>
        </is>
      </c>
      <c r="X1" s="1" t="inlineStr">
        <is>
          <t>final_balance</t>
        </is>
      </c>
      <c r="Y1" s="1" t="inlineStr">
        <is>
          <t>warnings</t>
        </is>
      </c>
    </row>
    <row r="2">
      <c r="A2" s="2" t="inlineStr">
        <is>
          <t>👇 Paste your CSV data starting from row 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6" t="inlineStr">
        <is>
          <t>📊 Retirement Analysis Dashboard</t>
        </is>
      </c>
    </row>
    <row r="3">
      <c r="A3" s="7" t="inlineStr">
        <is>
          <t>After pasting CSV data into 'Raw Data' sheet, this dashboard will auto-update.</t>
        </is>
      </c>
    </row>
    <row r="5">
      <c r="A5" s="8" t="inlineStr">
        <is>
          <t>Success Rate Analysis</t>
        </is>
      </c>
    </row>
    <row r="6">
      <c r="A6" t="inlineStr">
        <is>
          <t>Total Scenarios:</t>
        </is>
      </c>
      <c r="B6">
        <f>COUNTA('Raw Data'!A:A)-1</f>
        <v/>
      </c>
    </row>
    <row r="7">
      <c r="A7" t="inlineStr">
        <is>
          <t>Successful Scenarios:</t>
        </is>
      </c>
      <c r="B7">
        <f>COUNTIF('Raw Data'!W:W,TRUE)</f>
        <v/>
      </c>
    </row>
    <row r="8">
      <c r="A8" t="inlineStr">
        <is>
          <t>Success Rate:</t>
        </is>
      </c>
      <c r="B8" s="9">
        <f>IF(B6&gt;0,B7/B6,0)</f>
        <v/>
      </c>
    </row>
    <row r="10">
      <c r="A10" s="10" t="inlineStr">
        <is>
          <t>Financial Overview</t>
        </is>
      </c>
    </row>
    <row r="11">
      <c r="A11" t="inlineStr">
        <is>
          <t>Average Final Balance (Success):</t>
        </is>
      </c>
      <c r="B11" s="11">
        <f>AVERAGEIF('Raw Data'!W:W,TRUE,'Raw Data'!X:X)</f>
        <v/>
      </c>
    </row>
    <row r="12">
      <c r="A12" t="inlineStr">
        <is>
          <t>Median Retirement Age (Success):</t>
        </is>
      </c>
      <c r="B12" s="12">
        <f>MEDIAN(IF('Raw Data'!W:W=TRUE,'Raw Data'!B:B))</f>
        <v/>
      </c>
    </row>
    <row r="13">
      <c r="A13" t="inlineStr">
        <is>
          <t>Average Annual Spending:</t>
        </is>
      </c>
      <c r="B13" s="11">
        <f>AVERAGE('Raw Data'!F:F)</f>
        <v/>
      </c>
    </row>
    <row r="15">
      <c r="A15" s="13" t="inlineStr">
        <is>
          <t>🏆 Best Scenario</t>
        </is>
      </c>
    </row>
    <row r="16">
      <c r="A16" t="inlineStr">
        <is>
          <t>Best Scenario ID:</t>
        </is>
      </c>
      <c r="B16">
        <f>INDEX('Raw Data'!A:A,MATCH(MAX(IF('Raw Data'!W:W=TRUE,'Raw Data'!X:X)),IF('Raw Data'!W:W=TRUE,'Raw Data'!X:X),0)+1)</f>
        <v/>
      </c>
    </row>
    <row r="17">
      <c r="A17" t="inlineStr">
        <is>
          <t>Final Balance:</t>
        </is>
      </c>
      <c r="B17" s="11">
        <f>MAX(IF('Raw Data'!W:W=TRUE,'Raw Data'!X:X))</f>
        <v/>
      </c>
    </row>
    <row r="18">
      <c r="A18" t="inlineStr">
        <is>
          <t>Retirement Age:</t>
        </is>
      </c>
      <c r="B18">
        <f>INDEX('Raw Data'!B:B,MATCH(MAX(IF('Raw Data'!W:W=TRUE,'Raw Data'!X:X)),IF('Raw Data'!W:W=TRUE,'Raw Data'!X:X),0)+1)</f>
        <v/>
      </c>
    </row>
    <row r="20">
      <c r="A20" s="14" t="inlineStr">
        <is>
          <t>�� Key Insights</t>
        </is>
      </c>
    </row>
    <row r="21">
      <c r="A21" t="inlineStr">
        <is>
          <t>Scenarios with Pensions:</t>
        </is>
      </c>
      <c r="B21">
        <f>COUNTIF('Raw Data'!L:L,"&gt;0")</f>
        <v/>
      </c>
    </row>
    <row r="22">
      <c r="A22" t="inlineStr">
        <is>
          <t>Scenarios with Properties:</t>
        </is>
      </c>
      <c r="B22">
        <f>COUNTIF('Raw Data'!K:K,"&gt;0")</f>
        <v/>
      </c>
    </row>
    <row r="23">
      <c r="A23" t="inlineStr">
        <is>
          <t>Average Tax Paid (per year):</t>
        </is>
      </c>
      <c r="B23" s="11">
        <f>AVERAGE('Raw Data'!V:V)</f>
        <v/>
      </c>
    </row>
    <row r="25">
      <c r="A25" s="15" t="inlineStr">
        <is>
          <t>Note: Some formulas use array logic. Press Ctrl+Shift+Enter when editing them.</t>
        </is>
      </c>
    </row>
  </sheetData>
  <mergeCells count="3">
    <mergeCell ref="A1:D1"/>
    <mergeCell ref="A25:D25"/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📋 How to Use This Template</t>
        </is>
      </c>
    </row>
    <row r="2"/>
    <row r="3">
      <c r="A3" s="5" t="inlineStr">
        <is>
          <t>Step 1: Download your CSV</t>
        </is>
      </c>
    </row>
    <row r="4">
      <c r="A4" t="inlineStr">
        <is>
          <t xml:space="preserve">   • Run batch analysis on https://retirement-planning-dapp.vercel.app</t>
        </is>
      </c>
    </row>
    <row r="5">
      <c r="A5" t="inlineStr">
        <is>
          <t xml:space="preserve">   • Complete Solana payment</t>
        </is>
      </c>
    </row>
    <row r="6">
      <c r="A6" t="inlineStr">
        <is>
          <t xml:space="preserve">   • Download the CSV file</t>
        </is>
      </c>
    </row>
    <row r="7"/>
    <row r="8">
      <c r="A8" s="5" t="inlineStr">
        <is>
          <t>Step 2: Import CSV data</t>
        </is>
      </c>
    </row>
    <row r="9">
      <c r="A9" t="inlineStr">
        <is>
          <t xml:space="preserve">   • Open the CSV file in Excel or text editor</t>
        </is>
      </c>
    </row>
    <row r="10">
      <c r="A10" t="inlineStr">
        <is>
          <t xml:space="preserve">   • Copy ALL rows (including header)</t>
        </is>
      </c>
    </row>
    <row r="11">
      <c r="A11" t="inlineStr">
        <is>
          <t xml:space="preserve">   • Go to 'Raw Data' sheet</t>
        </is>
      </c>
    </row>
    <row r="12">
      <c r="A12" t="inlineStr">
        <is>
          <t xml:space="preserve">   • Paste starting at cell A1 (overwrite existing header)</t>
        </is>
      </c>
    </row>
    <row r="13"/>
    <row r="14">
      <c r="A14" s="5" t="inlineStr">
        <is>
          <t>Step 3: Analyze results</t>
        </is>
      </c>
    </row>
    <row r="15">
      <c r="A15" t="inlineStr">
        <is>
          <t xml:space="preserve">   • Summary Dashboard: See key metrics</t>
        </is>
      </c>
    </row>
    <row r="16">
      <c r="A16" t="inlineStr">
        <is>
          <t xml:space="preserve">   • Use filters to find optimal scenarios</t>
        </is>
      </c>
    </row>
    <row r="17">
      <c r="A17" t="inlineStr">
        <is>
          <t xml:space="preserve">   • Sort by 'success' column (TRUE = plan works)</t>
        </is>
      </c>
    </row>
    <row r="18">
      <c r="A18" t="inlineStr">
        <is>
          <t xml:space="preserve">   • Compare 'final_balance' to see how much remains</t>
        </is>
      </c>
    </row>
    <row r="19"/>
    <row r="20">
      <c r="A20" t="inlineStr">
        <is>
          <t>Key Columns:</t>
        </is>
      </c>
    </row>
    <row r="21">
      <c r="A21" t="inlineStr">
        <is>
          <t xml:space="preserve">   • success: Does retirement plan work? (TRUE/FALSE)</t>
        </is>
      </c>
    </row>
    <row r="22">
      <c r="A22" t="inlineStr">
        <is>
          <t xml:space="preserve">   • final_balance: Money left at end of life</t>
        </is>
      </c>
    </row>
    <row r="23">
      <c r="A23" t="inlineStr">
        <is>
          <t xml:space="preserve">   • warnings: Why plan failed (if applicable)</t>
        </is>
      </c>
    </row>
    <row r="24">
      <c r="A24" t="inlineStr">
        <is>
          <t xml:space="preserve">   • num_pensions: Number of pensions in scenario</t>
        </is>
      </c>
    </row>
    <row r="25">
      <c r="A25" t="inlineStr">
        <is>
          <t xml:space="preserve">   • num_properties: Number of properties in scenario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2026-01-03T16:29:49Z</dcterms:created>
  <dcterms:modified xsi:type="dcterms:W3CDTF">2026-01-03T16:48:33Z</dcterms:modified>
</cp:coreProperties>
</file>